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E4D09560-BF8C-4398-8286-E57FD07D9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40" i="1"/>
  <c r="U41" i="1"/>
  <c r="U28" i="1"/>
  <c r="U29" i="1"/>
  <c r="U30" i="1"/>
  <c r="U31" i="1"/>
  <c r="U32" i="1"/>
  <c r="U33" i="1"/>
  <c r="U34" i="1"/>
  <c r="U35" i="1"/>
  <c r="U36" i="1"/>
  <c r="U37" i="1"/>
  <c r="U38" i="1"/>
  <c r="U3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<sst xmlns="http://schemas.openxmlformats.org/spreadsheetml/2006/main" count="465" uniqueCount="232">
  <si>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</si>
  <si>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</si>
  <si>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</si>
  <si>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</si>
  <si>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</si>
  <si>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</si>
  <si>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</si>
  <si>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</si>
  <si>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</si>
  <si>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</si>
  <si>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</si>
  <si>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</si>
  <si>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</si>
  <si>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</si>
  <si>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</si>
  <si>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</si>
  <si>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</si>
  <si>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</si>
  <si>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</si>
  <si>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</si>
  <si>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</si>
  <si>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</si>
  <si>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</si>
  <si>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</si>
  <si>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</si>
  <si>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</si>
  <si>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</si>
  <si>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</si>
  <si>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</si>
  <si>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</si>
  <si>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</si>
  <si>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</si>
  <si>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</si>
  <si>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</si>
  <si>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</si>
  <si>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</si>
  <si>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</si>
  <si>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</si>
  <si>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</si>
  <si>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</si>
  <si>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</si>
  <si>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</si>
  <si>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</si>
  <si>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</si>
  <si>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</si>
  <si>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</si>
  <si>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</si>
  <si>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</si>
  <si>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</si>
  <si>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</si>
  <si>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</si>
  <si>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</si>
  <si>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</si>
  <si>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</si>
  <si>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</si>
  <si>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</si>
  <si>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</si>
  <si>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</si>
  <si>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</si>
  <si>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</si>
  <si>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</si>
  <si>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</si>
  <si>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</si>
  <si>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</si>
  <si>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</si>
  <si>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</si>
  <si>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</si>
  <si>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</si>
  <si>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</si>
  <si>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</si>
  <si>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</si>
  <si>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</si>
  <si>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</si>
  <si>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</si>
  <si>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</si>
  <si>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</si>
  <si>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</si>
  <si>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</si>
  <si>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</si>
  <si>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</si>
  <si>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</si>
  <si>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</si>
  <si>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</si>
  <si>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</si>
  <si>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</si>
  <si>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</si>
  <si>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</si>
  <si>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</si>
  <si>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</si>
  <si>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</si>
  <si>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</si>
  <si>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</si>
  <si>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</si>
  <si>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</si>
  <si>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</si>
  <si>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</si>
  <si>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</si>
  <si>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</si>
  <si>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</si>
  <si>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</si>
  <si>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</si>
  <si>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</si>
  <si>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</si>
  <si>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</si>
  <si>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</si>
  <si>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</si>
  <si>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</si>
  <si>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</si>
  <si>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</si>
  <si>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</si>
  <si>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</si>
  <si>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</si>
  <si>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</si>
  <si>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</si>
  <si>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</si>
  <si>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</si>
  <si>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</si>
  <si>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</si>
  <si>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</si>
  <si>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</si>
  <si>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</si>
  <si>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</si>
  <si>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</si>
  <si>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</si>
  <si>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</si>
  <si>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</si>
  <si>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</si>
  <si>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</si>
  <si>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</si>
  <si>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</si>
  <si>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</si>
  <si>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</si>
  <si>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</si>
  <si>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</si>
  <si>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</si>
  <si>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</si>
  <si>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</si>
  <si>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</si>
  <si>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</si>
  <si>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</si>
  <si>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</si>
  <si>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</si>
  <si>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</si>
  <si>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</si>
  <si>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</si>
  <si>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</si>
  <si>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</si>
  <si>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</si>
  <si>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</si>
  <si>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</si>
  <si>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</si>
  <si>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</si>
  <si>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</si>
  <si>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</si>
  <si>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</si>
  <si>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</si>
  <si>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</si>
  <si>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</si>
  <si>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</si>
  <si>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</si>
  <si>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</si>
  <si>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</si>
  <si>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</si>
  <si>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</si>
  <si>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</si>
  <si>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</si>
  <si>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</si>
  <si>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</si>
  <si>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</si>
  <si>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</si>
  <si>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</si>
  <si>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</si>
  <si>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</si>
  <si>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</si>
  <si>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</si>
  <si>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</si>
  <si>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</si>
  <si>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</si>
  <si>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</si>
  <si>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</si>
  <si>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</si>
  <si>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</si>
  <si>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</si>
  <si>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</si>
  <si>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</si>
  <si>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</si>
  <si>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</si>
  <si>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</si>
  <si>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</si>
  <si>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</si>
  <si>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</si>
  <si>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</si>
  <si>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</si>
  <si>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</si>
  <si>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</si>
  <si>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</si>
  <si>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</si>
  <si>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</si>
  <si>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</si>
  <si>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</si>
  <si>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</si>
  <si>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</si>
  <si>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</si>
  <si>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</si>
  <si>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</si>
  <si>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</si>
  <si>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</si>
  <si>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</si>
  <si>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</si>
  <si>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</si>
  <si>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</si>
  <si>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</si>
  <si>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</si>
  <si>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</si>
  <si>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</si>
  <si>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</si>
  <si>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</si>
  <si>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</si>
  <si>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</si>
  <si>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</si>
  <si>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</si>
  <si>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</si>
  <si>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</si>
  <si>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</si>
  <si>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</si>
  <si>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</si>
  <si>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</si>
  <si>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</si>
  <si>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</si>
  <si>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Follow Up</t>
  </si>
  <si>
    <t>Dept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</si>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</sst>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G1" workbookViewId="0">
      <selection activeCell="I66" sqref="I66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 t="s">
        <v>231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IF(C2&gt;=60,"Senior Citizen","Non Senior")</f>
        <v>Non Senior</v>
      </c>
      <c r="Q2" t="str">
        <f>IF(AND(K2&gt;40000,M2&gt;5),"High Billing Case","Normal Case")</f>
        <v>Normal Case</v>
      </c>
      <c r="R2" t="str">
        <f>IF(AND(L2="Pending",K2&gt;30000),"Urgent Followup","No Action")</f>
        <v>No Action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IF(K2&lt;15000,"Low",IF(AND(K2&gt;=15000,K2&lt;30000),"Medium",IF(AND(K2&gt;=30000,K2&lt;50000),"High","Very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 Senior")</f>
        <v>Non 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 Followup","No Action")</f>
        <v>No Action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Completed","Not Completed")</f>
        <v>Payment Completed</v>
      </c>
      <c r="U3" t="str">
        <f t="shared" ref="U3:U41" si="7">IF(K3&lt;15000,"Low",IF(AND(K3&gt;=15000,K3&lt;30000),"Medium",IF(AND(K3&gt;=30000,K3&lt;50000),"High","Very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 Senior</v>
      </c>
      <c r="Q5" t="str">
        <f t="shared" si="3"/>
        <v>Normal Case</v>
      </c>
      <c r="R5" t="str">
        <f t="shared" si="4"/>
        <v>No Action</v>
      </c>
      <c r="S5" t="str">
        <f t="shared" si="5"/>
        <v>Priority Department</v>
      </c>
      <c r="T5" t="str">
        <f t="shared" si="6"/>
        <v>Not Completed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Followup</v>
      </c>
      <c r="S8" t="str">
        <f t="shared" si="5"/>
        <v>Priority Department</v>
      </c>
      <c r="T8" t="str">
        <f t="shared" si="6"/>
        <v>Not Completed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 Senior</v>
      </c>
      <c r="Q13" t="str">
        <f t="shared" si="3"/>
        <v>Normal Case</v>
      </c>
      <c r="R13" t="str">
        <f t="shared" si="4"/>
        <v>Urgent Followup</v>
      </c>
      <c r="S13" t="str">
        <f t="shared" si="5"/>
        <v>Priority Department</v>
      </c>
      <c r="T13" t="str">
        <f t="shared" si="6"/>
        <v>Not Completed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Followup</v>
      </c>
      <c r="S16" t="str">
        <f t="shared" si="5"/>
        <v>Priority Department</v>
      </c>
      <c r="T16" t="str">
        <f t="shared" si="6"/>
        <v>Not Completed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Not Completed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 Senior</v>
      </c>
      <c r="Q21" t="str">
        <f t="shared" si="3"/>
        <v>Normal Case</v>
      </c>
      <c r="R21" t="str">
        <f t="shared" si="4"/>
        <v>No Action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Not Completed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Not Completed</v>
      </c>
      <c r="U28" t="str">
        <f>IF(K28&lt;15000,"Low",IF(AND(K28&gt;=15000,K28&lt;30000),"Medium",IF(AND(K28&gt;=30000,K28&lt;50000),"High","Very High")))</f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 Senior</v>
      </c>
      <c r="Q31" t="str">
        <f t="shared" si="3"/>
        <v>Normal Case</v>
      </c>
      <c r="R31" t="str">
        <f t="shared" si="4"/>
        <v>No Action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IF(L32="Pending","Follow up","No Action")</f>
        <v>No Action</v>
      </c>
      <c r="O32" t="str">
        <f t="shared" si="1"/>
        <v>Normal Bill</v>
      </c>
      <c r="P32" t="str">
        <f t="shared" si="2"/>
        <v>Non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Followup</v>
      </c>
      <c r="S33" t="str">
        <f t="shared" si="5"/>
        <v>Priority Department</v>
      </c>
      <c r="T33" t="str">
        <f t="shared" si="6"/>
        <v>Not Completed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Followup</v>
      </c>
      <c r="S36" t="str">
        <f t="shared" si="5"/>
        <v>Priority Department</v>
      </c>
      <c r="T36" t="str">
        <f t="shared" si="6"/>
        <v>Not Completed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Not Completed</v>
      </c>
      <c r="U40" t="str">
        <f>IF(K40&lt;15000,"Low",IF(AND(K40&gt;=15000,K40&lt;30000),"Medium",IF(AND(K40&gt;=30000,K40&lt;50000),"High","Very High")))</f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</row>
    <row r="48" spans="1:22">
      <c r="E48" t="s">
        <v>138</v>
      </c>
    </row>
    <row r="49" spans="5:5">
      <c r="E49" t="s">
        <v>139</v>
      </c>
    </row>
    <row r="50" spans="5:5">
      <c r="E50" t="s">
        <v>140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2026-09-09T05:55:57Z</dcterms:created>
  <dcterms:modified xsi:type="dcterms:W3CDTF">2026-09-22T12:43:58Z</dcterms:modified>
</cp:coreProperties>
</file>